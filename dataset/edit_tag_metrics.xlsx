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mroy/Downloads/"/>
    </mc:Choice>
  </mc:AlternateContent>
  <xr:revisionPtr revIDLastSave="0" documentId="13_ncr:1_{1C158F18-58F5-0849-99DF-8CF25F342E4D}" xr6:coauthVersionLast="47" xr6:coauthVersionMax="47" xr10:uidLastSave="{00000000-0000-0000-0000-000000000000}"/>
  <bookViews>
    <workbookView xWindow="15560" yWindow="2300" windowWidth="16380" windowHeight="17480" tabRatio="500" xr2:uid="{00000000-000D-0000-FFFF-FFFF00000000}"/>
  </bookViews>
  <sheets>
    <sheet name="Edit Tag Metric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" l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<sst xmlns="http://schemas.openxmlformats.org/spreadsheetml/2006/main" count="21" uniqueCount="21">
  <si>
    <t>Edit Tag</t>
  </si>
  <si>
    <t>True Positives</t>
  </si>
  <si>
    <t>False Positives</t>
  </si>
  <si>
    <t>False Negatives</t>
  </si>
  <si>
    <t>Precision</t>
  </si>
  <si>
    <t>Recall</t>
  </si>
  <si>
    <t>Block Alignment</t>
  </si>
  <si>
    <t>Timecode Drift</t>
  </si>
  <si>
    <t>Closed Captioning</t>
  </si>
  <si>
    <t>Line Wrapping</t>
  </si>
  <si>
    <t>Block Merge</t>
  </si>
  <si>
    <t>Punctuation Correction</t>
  </si>
  <si>
    <t>Speaker Change</t>
  </si>
  <si>
    <t>Block Split</t>
  </si>
  <si>
    <t>Caption Styling</t>
  </si>
  <si>
    <t>Word Correction</t>
  </si>
  <si>
    <t>Block Split &amp; Merge</t>
  </si>
  <si>
    <t>Block Horizontal Positioning Shift</t>
  </si>
  <si>
    <t>Block Vertical Positioning Shift</t>
  </si>
  <si>
    <t>Missed Block</t>
  </si>
  <si>
    <t xml:space="preserve">Extra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</si>
</sst>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Normal="100" workbookViewId="0">
      <selection activeCell="A16" sqref="A2:A16"/>
    </sheetView>
  </sheetViews>
  <sheetFormatPr baseColWidth="10" defaultColWidth="8.6640625" defaultRowHeight="15" x14ac:dyDescent="0.2"/>
  <cols>
    <col min="1" max="1" width="28" bestFit="1" customWidth="1"/>
    <col min="2" max="4" width="16" customWidth="1"/>
    <col min="5" max="5" width="10" customWidth="1"/>
    <col min="6" max="6" width="8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 s="2" t="s">
        <v>6</v>
      </c>
      <c r="B2" s="2">
        <v>31</v>
      </c>
      <c r="C2" s="2">
        <v>0</v>
      </c>
      <c r="D2" s="2">
        <v>0</v>
      </c>
      <c r="E2" s="3">
        <f t="shared" ref="E2:E16" si="0">IFERROR(B2/(B2+C2),0)</f>
        <v>1</v>
      </c>
      <c r="F2" s="3">
        <f t="shared" ref="F2:F16" si="1">IFERROR(B2/(B2+D2),0)</f>
        <v>1</v>
      </c>
    </row>
    <row r="3" spans="1:6" ht="15" customHeight="1" x14ac:dyDescent="0.2">
      <c r="A3" s="2" t="s">
        <v>7</v>
      </c>
      <c r="B3" s="2">
        <v>5820</v>
      </c>
      <c r="C3" s="2">
        <v>12</v>
      </c>
      <c r="D3" s="2">
        <v>0</v>
      </c>
      <c r="E3" s="3">
        <f t="shared" si="0"/>
        <v>0.99794238683127567</v>
      </c>
      <c r="F3" s="3">
        <f t="shared" si="1"/>
        <v>1</v>
      </c>
    </row>
    <row r="4" spans="1:6" ht="15" customHeight="1" x14ac:dyDescent="0.2">
      <c r="A4" s="2" t="s">
        <v>8</v>
      </c>
      <c r="B4" s="2">
        <v>1995</v>
      </c>
      <c r="C4" s="2">
        <v>0</v>
      </c>
      <c r="D4" s="2">
        <v>22</v>
      </c>
      <c r="E4" s="3">
        <f t="shared" si="0"/>
        <v>1</v>
      </c>
      <c r="F4" s="3">
        <f t="shared" si="1"/>
        <v>0.98909271194843829</v>
      </c>
    </row>
    <row r="5" spans="1:6" ht="15" customHeight="1" x14ac:dyDescent="0.2">
      <c r="A5" s="2" t="s">
        <v>20</v>
      </c>
      <c r="B5" s="2">
        <v>236</v>
      </c>
      <c r="C5" s="2">
        <v>0</v>
      </c>
      <c r="D5" s="2">
        <v>0</v>
      </c>
      <c r="E5" s="3">
        <f t="shared" si="0"/>
        <v>1</v>
      </c>
      <c r="F5" s="3">
        <f t="shared" si="1"/>
        <v>1</v>
      </c>
    </row>
    <row r="6" spans="1:6" ht="15" customHeight="1" x14ac:dyDescent="0.2">
      <c r="A6" s="2" t="s">
        <v>9</v>
      </c>
      <c r="B6" s="2">
        <v>4636</v>
      </c>
      <c r="C6" s="2">
        <v>96</v>
      </c>
      <c r="D6" s="2">
        <v>49</v>
      </c>
      <c r="E6" s="3">
        <f t="shared" si="0"/>
        <v>0.97971259509721054</v>
      </c>
      <c r="F6" s="3">
        <f t="shared" si="1"/>
        <v>0.98954108858057632</v>
      </c>
    </row>
    <row r="7" spans="1:6" ht="15" customHeight="1" x14ac:dyDescent="0.2">
      <c r="A7" s="2" t="s">
        <v>17</v>
      </c>
      <c r="B7" s="2">
        <v>193</v>
      </c>
      <c r="C7" s="2">
        <v>0</v>
      </c>
      <c r="D7" s="2">
        <v>0</v>
      </c>
      <c r="E7" s="3">
        <f t="shared" si="0"/>
        <v>1</v>
      </c>
      <c r="F7" s="3">
        <f t="shared" si="1"/>
        <v>1</v>
      </c>
    </row>
    <row r="8" spans="1:6" ht="15" customHeight="1" x14ac:dyDescent="0.2">
      <c r="A8" s="2" t="s">
        <v>10</v>
      </c>
      <c r="B8" s="2">
        <v>1424</v>
      </c>
      <c r="C8" s="2">
        <v>1</v>
      </c>
      <c r="D8" s="2">
        <v>33</v>
      </c>
      <c r="E8" s="3">
        <f t="shared" si="0"/>
        <v>0.99929824561403513</v>
      </c>
      <c r="F8" s="3">
        <f t="shared" si="1"/>
        <v>0.97735072065888817</v>
      </c>
    </row>
    <row r="9" spans="1:6" ht="15" customHeight="1" x14ac:dyDescent="0.2">
      <c r="A9" s="2" t="s">
        <v>19</v>
      </c>
      <c r="B9" s="2">
        <v>293</v>
      </c>
      <c r="C9" s="2">
        <v>0</v>
      </c>
      <c r="D9" s="2">
        <v>1</v>
      </c>
      <c r="E9" s="3">
        <f t="shared" si="0"/>
        <v>1</v>
      </c>
      <c r="F9" s="3">
        <f t="shared" si="1"/>
        <v>0.99659863945578231</v>
      </c>
    </row>
    <row r="10" spans="1:6" ht="15" customHeight="1" x14ac:dyDescent="0.2">
      <c r="A10" s="2" t="s">
        <v>18</v>
      </c>
      <c r="B10" s="2">
        <v>31</v>
      </c>
      <c r="C10" s="2">
        <v>0</v>
      </c>
      <c r="D10" s="2">
        <v>0</v>
      </c>
      <c r="E10" s="3">
        <f t="shared" si="0"/>
        <v>1</v>
      </c>
      <c r="F10" s="3">
        <f t="shared" si="1"/>
        <v>1</v>
      </c>
    </row>
    <row r="11" spans="1:6" ht="15" customHeight="1" x14ac:dyDescent="0.2">
      <c r="A11" s="2" t="s">
        <v>11</v>
      </c>
      <c r="B11" s="2">
        <v>2490</v>
      </c>
      <c r="C11" s="2">
        <v>54</v>
      </c>
      <c r="D11" s="2">
        <v>14</v>
      </c>
      <c r="E11" s="3">
        <f t="shared" si="0"/>
        <v>0.97877358490566035</v>
      </c>
      <c r="F11" s="3">
        <f t="shared" si="1"/>
        <v>0.99440894568690097</v>
      </c>
    </row>
    <row r="12" spans="1:6" ht="15" customHeight="1" x14ac:dyDescent="0.2">
      <c r="A12" s="2" t="s">
        <v>12</v>
      </c>
      <c r="B12" s="2">
        <v>1322</v>
      </c>
      <c r="C12" s="2">
        <v>59</v>
      </c>
      <c r="D12" s="2">
        <v>0</v>
      </c>
      <c r="E12" s="3">
        <f t="shared" si="0"/>
        <v>0.95727733526430125</v>
      </c>
      <c r="F12" s="3">
        <f t="shared" si="1"/>
        <v>1</v>
      </c>
    </row>
    <row r="13" spans="1:6" ht="15" customHeight="1" x14ac:dyDescent="0.2">
      <c r="A13" s="2" t="s">
        <v>13</v>
      </c>
      <c r="B13" s="2">
        <v>4223</v>
      </c>
      <c r="C13" s="2">
        <v>218</v>
      </c>
      <c r="D13" s="2">
        <v>14</v>
      </c>
      <c r="E13" s="3">
        <f t="shared" si="0"/>
        <v>0.95091195676649398</v>
      </c>
      <c r="F13" s="3">
        <f t="shared" si="1"/>
        <v>0.99669577531272124</v>
      </c>
    </row>
    <row r="14" spans="1:6" ht="15" customHeight="1" x14ac:dyDescent="0.2">
      <c r="A14" s="2" t="s">
        <v>16</v>
      </c>
      <c r="B14" s="2">
        <v>3989</v>
      </c>
      <c r="C14" s="2">
        <v>24</v>
      </c>
      <c r="D14" s="2">
        <v>13</v>
      </c>
      <c r="E14" s="3">
        <f t="shared" si="0"/>
        <v>0.99401943683030147</v>
      </c>
      <c r="F14" s="3">
        <f t="shared" si="1"/>
        <v>0.99675162418790608</v>
      </c>
    </row>
    <row r="15" spans="1:6" ht="15" customHeight="1" x14ac:dyDescent="0.2">
      <c r="A15" s="2" t="s">
        <v>14</v>
      </c>
      <c r="B15" s="2">
        <v>4097</v>
      </c>
      <c r="C15" s="2">
        <v>0</v>
      </c>
      <c r="D15" s="2">
        <v>1</v>
      </c>
      <c r="E15" s="3">
        <f t="shared" si="0"/>
        <v>1</v>
      </c>
      <c r="F15" s="3">
        <f t="shared" si="1"/>
        <v>0.99975597852611031</v>
      </c>
    </row>
    <row r="16" spans="1:6" ht="15" customHeight="1" x14ac:dyDescent="0.2">
      <c r="A16" s="2" t="s">
        <v>15</v>
      </c>
      <c r="B16" s="2">
        <v>2814</v>
      </c>
      <c r="C16" s="2">
        <v>48</v>
      </c>
      <c r="D16" s="2">
        <v>54</v>
      </c>
      <c r="E16" s="3">
        <f t="shared" si="0"/>
        <v>0.98322851153039836</v>
      </c>
      <c r="F16" s="3">
        <f t="shared" si="1"/>
        <v>0.98117154811715479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 Tag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Roy, Ambarish</cp:lastModifiedBy>
  <cp:revision>0</cp:revision>
  <dcterms:created xsi:type="dcterms:W3CDTF">2026-09-17T07:57:29Z</dcterms:created>
  <dcterms:modified xsi:type="dcterms:W3CDTF">2026-09-17T08:04:00Z</dcterms:modified>
  <dc:language>en-US</dc:language>
</cp:coreProperties>
</file>